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XPENDER\Documents\GitHub\Electronics-DemandSystem\"/>
    </mc:Choice>
  </mc:AlternateContent>
  <bookViews>
    <workbookView xWindow="0" yWindow="0" windowWidth="28800" windowHeight="12435" activeTab="1"/>
  </bookViews>
  <sheets>
    <sheet name="International Supplier" sheetId="1" r:id="rId1"/>
    <sheet name="Local Supplier" sheetId="2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5" i="2" l="1"/>
  <c r="J9" i="1" l="1"/>
  <c r="J8" i="1"/>
  <c r="J7" i="1"/>
  <c r="J4" i="1"/>
  <c r="J10" i="1" s="1"/>
  <c r="J5" i="1"/>
  <c r="J6" i="1"/>
</calcChain>
</file>

<file path=xl/sharedStrings.xml><?xml version="1.0" encoding="utf-8"?>
<sst xmlns="http://schemas.openxmlformats.org/spreadsheetml/2006/main" count="155" uniqueCount="101">
  <si>
    <t>Manufacturer</t>
  </si>
  <si>
    <t>Manufacturer Part Number</t>
  </si>
  <si>
    <t>Description</t>
  </si>
  <si>
    <t>S. No.</t>
  </si>
  <si>
    <t>Supplier</t>
  </si>
  <si>
    <t>Link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</si>
  <si>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</si>
  <si>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</si>
  <si>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</si>
  <si>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</si>
  <si>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</si>
  <si>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</si>
  <si>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</si>
  <si>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</si>
  <si>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</si>
  <si>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</si>
  <si>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</si>
  <si>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</si>
  <si>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</si>
  <si>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</si>
  <si>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</si>
  <si>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</si>
  <si>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</si>
  <si>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</si>
  <si>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</si>
  <si>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</si>
  <si>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</si>
  <si>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</si>
  <si>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</si>
  <si>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</si>
  <si>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</si>
  <si>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</si>
  <si>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</si>
  <si>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</si>
  <si>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</si>
  <si>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</si>
  <si>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</si>
  <si>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</si>
  <si>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</si>
  <si>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</si>
  <si>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</si>
  <si>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</si>
  <si>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</si>
  <si>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</si>
  <si>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</si>
  <si>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</si>
  <si>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</si>
  <si>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</si>
  <si>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</si>
  <si>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</si>
  <si>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</si>
  <si>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</si>
  <si>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</si>
  <si>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</si>
  <si>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</si>
  <si>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</si>
  <si>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</si>
  <si>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</si>
  <si>
    <t>30x HD Handheld Magnifying Glasses Led Illuminated Light Loupe w/ 4LED Light Illuminated Magnifier Loupe</t>
  </si>
  <si>
    <t>Alloet</t>
  </si>
  <si>
    <t>15X White Foldable Magnifying Glass with LED Light Third Hand Soldering Tool Desk Clamp USB Magnifier Welding/Reading Table Lamp</t>
  </si>
  <si>
    <t>PDOK</t>
  </si>
  <si>
    <t>Digital Microscope</t>
  </si>
  <si>
    <t>TOMLOV DM202 16MP 3X-1300X Digital Microscope for Soldering Electronic Microscopes HDMI Amplification Magnifier 10" Microscopio</t>
  </si>
  <si>
    <t>TOMLOV</t>
  </si>
  <si>
    <t xml:space="preserve">Grand Total </t>
  </si>
  <si>
    <t>Grand Total</t>
  </si>
  <si>
    <t>Solder Wire</t>
  </si>
  <si>
    <t>Flux</t>
  </si>
  <si>
    <t>Silicon Sticks</t>
  </si>
  <si>
    <t>Hot Air Gun</t>
  </si>
  <si>
    <t>KADA858D2</t>
  </si>
  <si>
    <t>hallroad</t>
  </si>
  <si>
    <t>Quantity</t>
  </si>
  <si>
    <t>KADA858D2 Hot Air Heat Gun</t>
  </si>
  <si>
    <t>KADA</t>
  </si>
  <si>
    <t>Hallroad</t>
  </si>
  <si>
    <t xml:space="preserve">100 Gram Solder Wire </t>
  </si>
  <si>
    <t>Fine</t>
  </si>
  <si>
    <t xml:space="preserve"> BON-102</t>
  </si>
  <si>
    <t>Flux Coating Tool Pen BONPEN BONKOTE</t>
  </si>
  <si>
    <t>BONKOTE</t>
  </si>
  <si>
    <t>Test Instrument</t>
  </si>
  <si>
    <t>Daraz</t>
  </si>
  <si>
    <t>Silicone Glue Sticks</t>
  </si>
  <si>
    <t>-</t>
  </si>
  <si>
    <t>AliE</t>
  </si>
  <si>
    <t>TOMLOV DM202</t>
  </si>
  <si>
    <t>With customs</t>
  </si>
  <si>
    <t>Solder Paste</t>
  </si>
  <si>
    <t>Solder Wick</t>
  </si>
  <si>
    <t>Heat Sink paste</t>
  </si>
  <si>
    <t>Desolder Pump (small)</t>
  </si>
  <si>
    <t>2 in 1 (Hot air / Soldering Iron)</t>
  </si>
  <si>
    <t>Power Supply</t>
  </si>
  <si>
    <t>Tablet Oscilloscope</t>
  </si>
  <si>
    <t>Optional</t>
  </si>
  <si>
    <t>Handheld Oscilloscope</t>
  </si>
  <si>
    <t>DMM</t>
  </si>
  <si>
    <t>With light</t>
  </si>
  <si>
    <t>Market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</si>
</sst>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$&quot;#,##0.0000"/>
    <numFmt numFmtId="165" formatCode="&quot;$&quot;#,##0.00"/>
    <numFmt numFmtId="166" formatCode="[$PKR]\ #,##0.00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2" fillId="0" borderId="8" xfId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3707743634.html?spm=a2g0o.detail.1000014.28.ab285db8Gd0rDb&amp;gps-id=pcDetailBottomMoreOtherSeller&amp;scm=1007.40050.281175.0&amp;scm_id=1007.40050.281175.0&amp;scm-url=1007.40050.281175.0&amp;pvid=7235bae1-8ef2-41a5-b3b6-f630ab4b6d1d&amp;_t=gps-id:pcDetailBottomMoreOtherSeller,scm-url:1007.40050.281175.0,pvid:7235bae1-8ef2-41a5-b3b6-f630ab4b6d1d,tpp_buckets:668%232846%238112%231997&amp;pdp_ext_f=%7B%22sku_id%22%3A%2212000026880572914%22%2C%22sceneId%22%3A%2230050%22%7D&amp;pdp_npi=2%40dis%21USD%218.92%216.07%21%21%21%21%21%400b174bd816633367340153110e1bbf%2112000026880572914%21re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1604633934.html" TargetMode="External"/><Relationship Id="rId1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6" Type="http://schemas.openxmlformats.org/officeDocument/2006/relationships/hyperlink" Target="https://www.amazon.com/PanaVise-350-Multi-Purpose-Work-Center/dp/B00011QA0M/ref=sr_1_1_sspa?crid=3N6H1EI93YUQQ&amp;keywords=panavise+350&amp;qid=1669133412&amp;sprefix=PANAVISE+350%2Caps%2C1098&amp;sr=8-1-spons&amp;sp_csd=d2lkZ2V0TmFtZT1zcF9hdGY&amp;psc=1" TargetMode="External"/><Relationship Id="rId5" Type="http://schemas.openxmlformats.org/officeDocument/2006/relationships/hyperlink" Target="https://www.aliexpress.com/item/1005004143388179.html" TargetMode="External"/><Relationship Id="rId4" Type="http://schemas.openxmlformats.org/officeDocument/2006/relationships/hyperlink" Target="https://www.aliexpress.com/item/1005004054488649.html?spm=a2g0o.detail.100009.1.2ff55284K4QdY1&amp;gps-id=pcDetailLeftTopSell&amp;scm=1007.13482.271138.0&amp;scm_id=1007.13482.271138.0&amp;scm-url=1007.13482.271138.0&amp;pvid=7aabe9e9-529b-4e66-b365-ec7371035701&amp;_t=gps-id:pcDetailLeftTopSell,scm-url:1007.13482.271138.0,pvid:7aabe9e9-529b-4e66-b365-ec7371035701,tpp_buckets:668%232846%238112%231997&amp;pdp_ext_f=%7B%22sku_id%22%3A%2212000027877193264%22%2C%22sceneId%22%3A%223482%22%7D&amp;pdp_npi=2%40dis%21USD%2131.65%2127.22%21%21%21%21%21%400b15785416633352331671154e97c8%2112000027877193264%21re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hallroad.org/kada-858d2-hot-air-heat-gun-smd-rework-station-in-pakistan.html" TargetMode="External"/><Relationship Id="rId13" Type="http://schemas.openxmlformats.org/officeDocument/2006/relationships/hyperlink" Target="http://testinstruments.pk/8s005-proskit?search=flux%20pen&amp;description=true" TargetMode="External"/><Relationship Id="rId18" Type="http://schemas.openxmlformats.org/officeDocument/2006/relationships/hyperlink" Target="http://testinstruments.pk/dps605u-wanptek?search=power%20supply&amp;description=true&amp;sort=p.price&amp;order=DESC&amp;page=15" TargetMode="External"/><Relationship Id="rId3" Type="http://schemas.openxmlformats.org/officeDocument/2006/relationships/hyperlink" Target="https://testinstruments.pk/8pk-313a-proskit?search=Wire%20stripper&amp;description=true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estinstruments.pk/hand-tools/3pc-wire-brush-set" TargetMode="External"/><Relationship Id="rId12" Type="http://schemas.openxmlformats.org/officeDocument/2006/relationships/hyperlink" Target="https://www.aliexpress.com/item/1005004143388179.html" TargetMode="External"/><Relationship Id="rId17" Type="http://schemas.openxmlformats.org/officeDocument/2006/relationships/hyperlink" Target="http://testinstruments.pk/ss989h-proskit?search=hot%20air&amp;description=true&amp;sort=p.price&amp;order=DESC" TargetMode="External"/><Relationship Id="rId2" Type="http://schemas.openxmlformats.org/officeDocument/2006/relationships/hyperlink" Target="https://testinstruments.pk/hand-tools/dp-366p-proskit" TargetMode="External"/><Relationship Id="rId16" Type="http://schemas.openxmlformats.org/officeDocument/2006/relationships/hyperlink" Target="https://testinstruments.pk/dp366d-china?search=desolder%20pump&amp;description=true" TargetMode="External"/><Relationship Id="rId20" Type="http://schemas.openxmlformats.org/officeDocument/2006/relationships/hyperlink" Target="http://testinstruments.pk/fnirsi-5012h?search=oscilloscope&amp;description=true&amp;category_id=257&amp;sort=p.price&amp;order=ASC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11" Type="http://schemas.openxmlformats.org/officeDocument/2006/relationships/hyperlink" Target="https://www.daraz.pk/products/pack-of-36-silicone-glue-sticks-clear-i2703734.html" TargetMode="External"/><Relationship Id="rId5" Type="http://schemas.openxmlformats.org/officeDocument/2006/relationships/hyperlink" Target="https://testinstruments.pk/hand-tools/1pk-706y-proskit" TargetMode="External"/><Relationship Id="rId15" Type="http://schemas.openxmlformats.org/officeDocument/2006/relationships/hyperlink" Target="http://testinstruments.pk/hy410-hy510-heatsink-compound-paste?search=soldering%20paste&amp;description=true&amp;page=2" TargetMode="External"/><Relationship Id="rId10" Type="http://schemas.openxmlformats.org/officeDocument/2006/relationships/hyperlink" Target="https://testinstruments.pk/bon-102-flux-pen-soldering" TargetMode="External"/><Relationship Id="rId19" Type="http://schemas.openxmlformats.org/officeDocument/2006/relationships/hyperlink" Target="http://testinstruments.pk/fnirsi-1013d?search=power%20supply&amp;description=true&amp;sort=p.price&amp;order=DESC&amp;page=9" TargetMode="External"/><Relationship Id="rId4" Type="http://schemas.openxmlformats.org/officeDocument/2006/relationships/hyperlink" Target="https://www.toolsmart.pk/products/harden-10pcs-needle-files-setsize4x160mm?_pos=2&amp;_sid=011facc56&amp;_ss=r" TargetMode="External"/><Relationship Id="rId9" Type="http://schemas.openxmlformats.org/officeDocument/2006/relationships/hyperlink" Target="https://hallroad.org/100-gram-solder-wire-in-pakistan.html" TargetMode="External"/><Relationship Id="rId14" Type="http://schemas.openxmlformats.org/officeDocument/2006/relationships/hyperlink" Target="http://testinstruments.pk/proskit-8pk-031a?search=soldering%20wick&amp;description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7" workbookViewId="0">
      <selection activeCell="G4" sqref="G4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32" t="s">
        <v>55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15.75" thickBot="1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</row>
    <row r="3" spans="1:11" ht="16.5" thickBot="1" x14ac:dyDescent="0.3">
      <c r="A3" s="20" t="s">
        <v>3</v>
      </c>
      <c r="B3" s="20" t="s">
        <v>40</v>
      </c>
      <c r="C3" s="21" t="s">
        <v>1</v>
      </c>
      <c r="D3" s="21" t="s">
        <v>2</v>
      </c>
      <c r="E3" s="21" t="s">
        <v>0</v>
      </c>
      <c r="F3" s="21" t="s">
        <v>4</v>
      </c>
      <c r="G3" s="21" t="s">
        <v>5</v>
      </c>
      <c r="H3" s="21" t="s">
        <v>12</v>
      </c>
      <c r="I3" s="21" t="s">
        <v>36</v>
      </c>
      <c r="J3" s="21" t="s">
        <v>51</v>
      </c>
      <c r="K3" s="21" t="s">
        <v>37</v>
      </c>
    </row>
    <row r="4" spans="1:11" x14ac:dyDescent="0.25">
      <c r="A4" s="9">
        <v>1</v>
      </c>
      <c r="B4" s="9" t="s">
        <v>48</v>
      </c>
      <c r="C4" s="9" t="s">
        <v>50</v>
      </c>
      <c r="D4" s="10" t="s">
        <v>6</v>
      </c>
      <c r="E4" s="9" t="s">
        <v>13</v>
      </c>
      <c r="F4" s="9"/>
      <c r="G4" s="11" t="s">
        <v>14</v>
      </c>
      <c r="H4" s="12">
        <v>100</v>
      </c>
      <c r="I4" s="12">
        <v>74</v>
      </c>
      <c r="J4" s="19">
        <f t="shared" ref="J4:J9" si="0">H4+I4</f>
        <v>174</v>
      </c>
      <c r="K4" s="13"/>
    </row>
    <row r="5" spans="1:11" ht="45" x14ac:dyDescent="0.25">
      <c r="A5" s="9">
        <v>2</v>
      </c>
      <c r="B5" s="9" t="s">
        <v>54</v>
      </c>
      <c r="C5" s="9" t="s">
        <v>24</v>
      </c>
      <c r="D5" s="10" t="s">
        <v>21</v>
      </c>
      <c r="E5" s="9" t="s">
        <v>23</v>
      </c>
      <c r="F5" s="9"/>
      <c r="G5" s="11" t="s">
        <v>22</v>
      </c>
      <c r="H5" s="12">
        <v>2</v>
      </c>
      <c r="I5" s="12">
        <v>3</v>
      </c>
      <c r="J5" s="19">
        <f t="shared" si="0"/>
        <v>5</v>
      </c>
      <c r="K5" s="13"/>
    </row>
    <row r="6" spans="1:11" ht="45" x14ac:dyDescent="0.25">
      <c r="A6" s="9">
        <v>3</v>
      </c>
      <c r="B6" s="9" t="s">
        <v>53</v>
      </c>
      <c r="C6" s="9" t="s">
        <v>35</v>
      </c>
      <c r="D6" s="10" t="s">
        <v>33</v>
      </c>
      <c r="E6" s="9" t="s">
        <v>34</v>
      </c>
      <c r="F6" s="9"/>
      <c r="G6" s="11" t="s">
        <v>22</v>
      </c>
      <c r="H6" s="12">
        <v>6</v>
      </c>
      <c r="I6" s="12">
        <v>4</v>
      </c>
      <c r="J6" s="19">
        <f t="shared" si="0"/>
        <v>10</v>
      </c>
      <c r="K6" s="13"/>
    </row>
    <row r="7" spans="1:11" s="4" customFormat="1" ht="45" x14ac:dyDescent="0.25">
      <c r="A7" s="22">
        <v>4</v>
      </c>
      <c r="B7" s="4" t="s">
        <v>49</v>
      </c>
      <c r="C7" s="22"/>
      <c r="D7" s="23" t="s">
        <v>58</v>
      </c>
      <c r="E7" s="22" t="s">
        <v>59</v>
      </c>
      <c r="F7" s="22"/>
      <c r="G7" s="24" t="s">
        <v>22</v>
      </c>
      <c r="H7" s="25">
        <v>6.07</v>
      </c>
      <c r="I7" s="25">
        <v>5.35</v>
      </c>
      <c r="J7" s="26">
        <f t="shared" si="0"/>
        <v>11.42</v>
      </c>
      <c r="K7" s="22"/>
    </row>
    <row r="8" spans="1:11" ht="60" x14ac:dyDescent="0.25">
      <c r="A8" s="9">
        <v>5</v>
      </c>
      <c r="B8" s="9" t="s">
        <v>52</v>
      </c>
      <c r="C8" s="9"/>
      <c r="D8" s="10" t="s">
        <v>60</v>
      </c>
      <c r="E8" s="9" t="s">
        <v>61</v>
      </c>
      <c r="F8" s="9"/>
      <c r="G8" s="11" t="s">
        <v>22</v>
      </c>
      <c r="H8" s="12">
        <v>28.08</v>
      </c>
      <c r="I8" s="12">
        <v>1.05</v>
      </c>
      <c r="J8" s="12">
        <f t="shared" si="0"/>
        <v>29.13</v>
      </c>
      <c r="K8" s="13"/>
    </row>
    <row r="9" spans="1:11" ht="60" x14ac:dyDescent="0.25">
      <c r="A9" s="9">
        <v>6</v>
      </c>
      <c r="B9" s="9" t="s">
        <v>62</v>
      </c>
      <c r="C9" s="9"/>
      <c r="D9" s="10" t="s">
        <v>63</v>
      </c>
      <c r="E9" s="9" t="s">
        <v>64</v>
      </c>
      <c r="F9" s="9"/>
      <c r="G9" s="11" t="s">
        <v>22</v>
      </c>
      <c r="H9" s="12">
        <v>155.22</v>
      </c>
      <c r="I9" s="12">
        <v>41.62</v>
      </c>
      <c r="J9" s="12">
        <f t="shared" si="0"/>
        <v>196.84</v>
      </c>
      <c r="K9" s="13"/>
    </row>
    <row r="10" spans="1:11" ht="15.75" x14ac:dyDescent="0.25">
      <c r="B10" s="4"/>
      <c r="H10" s="6"/>
      <c r="I10" s="27" t="s">
        <v>65</v>
      </c>
      <c r="J10" s="27">
        <f>SUM(J4:J9)</f>
        <v>426.39</v>
      </c>
    </row>
    <row r="11" spans="1:11" x14ac:dyDescent="0.25">
      <c r="B11" s="4"/>
      <c r="H11" s="6"/>
      <c r="I11" s="7"/>
      <c r="J11" s="7"/>
    </row>
    <row r="12" spans="1:11" x14ac:dyDescent="0.25"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</sheetData>
  <mergeCells count="1">
    <mergeCell ref="A1:K2"/>
  </mergeCells>
  <hyperlinks>
    <hyperlink ref="G5" r:id="rId1"/>
    <hyperlink ref="G6" r:id="rId2"/>
    <hyperlink ref="G7" r:id="rId3"/>
    <hyperlink ref="G8" r:id="rId4"/>
    <hyperlink ref="G9" r:id="rId5"/>
    <hyperlink ref="G4" r:id="rId6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abSelected="1" topLeftCell="A10" zoomScale="85" zoomScaleNormal="85" workbookViewId="0">
      <selection activeCell="J29" sqref="J29"/>
    </sheetView>
  </sheetViews>
  <sheetFormatPr defaultRowHeight="15" x14ac:dyDescent="0.25"/>
  <cols>
    <col min="1" max="1" width="6.7109375" style="3" bestFit="1" customWidth="1"/>
    <col min="2" max="2" width="29.5703125" style="3" bestFit="1" customWidth="1"/>
    <col min="3" max="3" width="28.42578125" style="4" bestFit="1" customWidth="1"/>
    <col min="4" max="4" width="28.28515625" customWidth="1"/>
    <col min="5" max="5" width="14.7109375" bestFit="1" customWidth="1"/>
    <col min="7" max="7" width="15.7109375" style="4" bestFit="1" customWidth="1"/>
    <col min="8" max="8" width="13.85546875" style="4" customWidth="1"/>
    <col min="9" max="9" width="19.42578125" style="4" bestFit="1" customWidth="1"/>
    <col min="10" max="10" width="40.28515625" customWidth="1"/>
    <col min="11" max="11" width="19.28515625" style="4" customWidth="1"/>
  </cols>
  <sheetData>
    <row r="1" spans="1:11" x14ac:dyDescent="0.25">
      <c r="A1" s="35" t="s">
        <v>39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ht="15.75" thickBo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</row>
    <row r="3" spans="1:11" ht="15.75" x14ac:dyDescent="0.25">
      <c r="A3" s="2" t="s">
        <v>3</v>
      </c>
      <c r="B3" s="2" t="s">
        <v>40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73</v>
      </c>
      <c r="I3" s="1" t="s">
        <v>12</v>
      </c>
      <c r="J3" s="1" t="s">
        <v>56</v>
      </c>
      <c r="K3" s="1" t="s">
        <v>38</v>
      </c>
    </row>
    <row r="4" spans="1:11" ht="30" x14ac:dyDescent="0.25">
      <c r="A4" s="9">
        <v>1</v>
      </c>
      <c r="B4" s="9" t="s">
        <v>41</v>
      </c>
      <c r="C4" s="9" t="s">
        <v>7</v>
      </c>
      <c r="D4" s="15" t="s">
        <v>8</v>
      </c>
      <c r="E4" s="9" t="s">
        <v>9</v>
      </c>
      <c r="F4" s="9" t="s">
        <v>11</v>
      </c>
      <c r="G4" s="11" t="s">
        <v>10</v>
      </c>
      <c r="H4" s="11">
        <v>1</v>
      </c>
      <c r="I4" s="14">
        <v>1200</v>
      </c>
      <c r="J4" s="9" t="s">
        <v>57</v>
      </c>
      <c r="K4" s="9"/>
    </row>
    <row r="5" spans="1:11" ht="30" x14ac:dyDescent="0.25">
      <c r="A5" s="9">
        <v>2</v>
      </c>
      <c r="B5" s="9" t="s">
        <v>42</v>
      </c>
      <c r="C5" s="9" t="s">
        <v>15</v>
      </c>
      <c r="D5" s="15" t="s">
        <v>16</v>
      </c>
      <c r="E5" s="9" t="s">
        <v>9</v>
      </c>
      <c r="F5" s="9" t="s">
        <v>11</v>
      </c>
      <c r="G5" s="11" t="s">
        <v>10</v>
      </c>
      <c r="H5" s="11">
        <v>1</v>
      </c>
      <c r="I5" s="14">
        <v>750</v>
      </c>
      <c r="J5" s="9" t="s">
        <v>57</v>
      </c>
      <c r="K5" s="9"/>
    </row>
    <row r="6" spans="1:11" s="17" customFormat="1" ht="45" x14ac:dyDescent="0.25">
      <c r="A6" s="9">
        <v>3</v>
      </c>
      <c r="B6" s="9" t="s">
        <v>43</v>
      </c>
      <c r="C6" s="9" t="s">
        <v>17</v>
      </c>
      <c r="D6" s="16" t="s">
        <v>18</v>
      </c>
      <c r="E6" s="9" t="s">
        <v>9</v>
      </c>
      <c r="F6" s="9" t="s">
        <v>11</v>
      </c>
      <c r="G6" s="11" t="s">
        <v>10</v>
      </c>
      <c r="H6" s="11">
        <v>1</v>
      </c>
      <c r="I6" s="14">
        <v>1200</v>
      </c>
      <c r="J6" s="9" t="s">
        <v>57</v>
      </c>
      <c r="K6" s="9"/>
    </row>
    <row r="7" spans="1:11" s="17" customFormat="1" ht="90" x14ac:dyDescent="0.25">
      <c r="A7" s="9">
        <v>4</v>
      </c>
      <c r="B7" s="9" t="s">
        <v>44</v>
      </c>
      <c r="C7" s="9" t="s">
        <v>20</v>
      </c>
      <c r="D7" s="16" t="s">
        <v>19</v>
      </c>
      <c r="E7" s="9" t="s">
        <v>9</v>
      </c>
      <c r="F7" s="9" t="s">
        <v>11</v>
      </c>
      <c r="G7" s="11" t="s">
        <v>10</v>
      </c>
      <c r="H7" s="11">
        <v>1</v>
      </c>
      <c r="I7" s="14">
        <v>1800</v>
      </c>
      <c r="J7" s="9" t="s">
        <v>57</v>
      </c>
      <c r="K7" s="9"/>
    </row>
    <row r="8" spans="1:11" s="17" customFormat="1" ht="105" x14ac:dyDescent="0.25">
      <c r="A8" s="9">
        <v>5</v>
      </c>
      <c r="B8" s="9" t="s">
        <v>45</v>
      </c>
      <c r="C8" s="9" t="s">
        <v>25</v>
      </c>
      <c r="D8" s="16" t="s">
        <v>26</v>
      </c>
      <c r="E8" s="9" t="s">
        <v>27</v>
      </c>
      <c r="F8" s="9" t="s">
        <v>11</v>
      </c>
      <c r="G8" s="11" t="s">
        <v>28</v>
      </c>
      <c r="H8" s="11">
        <v>1</v>
      </c>
      <c r="I8" s="14">
        <v>1580</v>
      </c>
      <c r="J8" s="9" t="s">
        <v>57</v>
      </c>
      <c r="K8" s="9"/>
    </row>
    <row r="9" spans="1:11" s="17" customFormat="1" x14ac:dyDescent="0.25">
      <c r="A9" s="9">
        <v>6</v>
      </c>
      <c r="B9" s="9" t="s">
        <v>46</v>
      </c>
      <c r="C9" s="9" t="s">
        <v>29</v>
      </c>
      <c r="D9" s="18" t="s">
        <v>30</v>
      </c>
      <c r="E9" s="9" t="s">
        <v>9</v>
      </c>
      <c r="F9" s="9" t="s">
        <v>11</v>
      </c>
      <c r="G9" s="11" t="s">
        <v>10</v>
      </c>
      <c r="H9" s="11">
        <v>1</v>
      </c>
      <c r="I9" s="14">
        <v>1550</v>
      </c>
      <c r="J9" s="9" t="s">
        <v>57</v>
      </c>
      <c r="K9" s="9"/>
    </row>
    <row r="10" spans="1:11" s="17" customFormat="1" ht="30" x14ac:dyDescent="0.25">
      <c r="A10" s="9">
        <v>7</v>
      </c>
      <c r="B10" s="9" t="s">
        <v>47</v>
      </c>
      <c r="C10" s="9" t="s">
        <v>31</v>
      </c>
      <c r="D10" s="16" t="s">
        <v>32</v>
      </c>
      <c r="E10" s="9" t="s">
        <v>9</v>
      </c>
      <c r="F10" s="9" t="s">
        <v>11</v>
      </c>
      <c r="G10" s="11" t="s">
        <v>10</v>
      </c>
      <c r="H10" s="11">
        <v>1</v>
      </c>
      <c r="I10" s="14">
        <v>1750</v>
      </c>
      <c r="J10" s="9" t="s">
        <v>57</v>
      </c>
      <c r="K10" s="9"/>
    </row>
    <row r="11" spans="1:11" s="17" customFormat="1" x14ac:dyDescent="0.25">
      <c r="A11" s="9">
        <v>8</v>
      </c>
      <c r="B11" s="9" t="s">
        <v>67</v>
      </c>
      <c r="C11" s="9"/>
      <c r="D11" s="16" t="s">
        <v>77</v>
      </c>
      <c r="E11" s="9" t="s">
        <v>78</v>
      </c>
      <c r="F11" s="9" t="s">
        <v>11</v>
      </c>
      <c r="G11" s="11" t="s">
        <v>76</v>
      </c>
      <c r="H11" s="11">
        <v>4</v>
      </c>
      <c r="I11" s="14">
        <v>450</v>
      </c>
      <c r="J11" s="9" t="s">
        <v>57</v>
      </c>
      <c r="K11" s="9"/>
    </row>
    <row r="12" spans="1:11" s="17" customFormat="1" ht="30" x14ac:dyDescent="0.25">
      <c r="A12" s="9">
        <v>9</v>
      </c>
      <c r="B12" s="9" t="s">
        <v>68</v>
      </c>
      <c r="C12" s="9" t="s">
        <v>79</v>
      </c>
      <c r="D12" s="16" t="s">
        <v>80</v>
      </c>
      <c r="E12" s="9" t="s">
        <v>81</v>
      </c>
      <c r="F12" s="9" t="s">
        <v>11</v>
      </c>
      <c r="G12" s="11" t="s">
        <v>82</v>
      </c>
      <c r="H12" s="11">
        <v>2</v>
      </c>
      <c r="I12" s="14">
        <v>650</v>
      </c>
      <c r="J12" s="9" t="s">
        <v>57</v>
      </c>
      <c r="K12" s="9"/>
    </row>
    <row r="13" spans="1:11" s="17" customFormat="1" x14ac:dyDescent="0.25">
      <c r="A13" s="9">
        <v>10</v>
      </c>
      <c r="B13" s="9" t="s">
        <v>70</v>
      </c>
      <c r="C13" s="9" t="s">
        <v>71</v>
      </c>
      <c r="D13" s="16" t="s">
        <v>74</v>
      </c>
      <c r="E13" s="9" t="s">
        <v>75</v>
      </c>
      <c r="F13" s="9" t="s">
        <v>11</v>
      </c>
      <c r="G13" s="11" t="s">
        <v>72</v>
      </c>
      <c r="H13" s="11">
        <v>1</v>
      </c>
      <c r="I13" s="14">
        <v>6500</v>
      </c>
      <c r="J13" s="9" t="s">
        <v>57</v>
      </c>
      <c r="K13" s="9" t="s">
        <v>100</v>
      </c>
    </row>
    <row r="14" spans="1:11" s="17" customFormat="1" x14ac:dyDescent="0.25">
      <c r="A14" s="9">
        <v>11</v>
      </c>
      <c r="B14" s="9" t="s">
        <v>69</v>
      </c>
      <c r="C14" s="9" t="s">
        <v>85</v>
      </c>
      <c r="D14" s="16" t="s">
        <v>84</v>
      </c>
      <c r="E14" s="9" t="s">
        <v>85</v>
      </c>
      <c r="F14" s="9" t="s">
        <v>11</v>
      </c>
      <c r="G14" s="11" t="s">
        <v>83</v>
      </c>
      <c r="H14" s="11">
        <v>36</v>
      </c>
      <c r="I14" s="14">
        <v>936</v>
      </c>
      <c r="J14" s="9" t="s">
        <v>57</v>
      </c>
      <c r="K14" s="9"/>
    </row>
    <row r="15" spans="1:11" s="17" customFormat="1" x14ac:dyDescent="0.25">
      <c r="A15" s="9">
        <v>12</v>
      </c>
      <c r="B15" s="9" t="s">
        <v>89</v>
      </c>
      <c r="C15" s="9"/>
      <c r="D15" s="16"/>
      <c r="E15" s="9"/>
      <c r="F15" s="9"/>
      <c r="G15" s="30" t="s">
        <v>10</v>
      </c>
      <c r="H15" s="30"/>
      <c r="I15" s="31">
        <v>800</v>
      </c>
      <c r="J15" s="9"/>
      <c r="K15" s="9"/>
    </row>
    <row r="16" spans="1:11" s="17" customFormat="1" x14ac:dyDescent="0.25">
      <c r="A16" s="9">
        <v>13</v>
      </c>
      <c r="B16" s="9" t="s">
        <v>90</v>
      </c>
      <c r="C16" s="9"/>
      <c r="D16" s="16"/>
      <c r="E16" s="9"/>
      <c r="F16" s="9"/>
      <c r="G16" s="30" t="s">
        <v>10</v>
      </c>
      <c r="H16" s="30"/>
      <c r="I16" s="31">
        <v>500</v>
      </c>
      <c r="J16" s="9"/>
      <c r="K16" s="9"/>
    </row>
    <row r="17" spans="1:11" s="17" customFormat="1" x14ac:dyDescent="0.25">
      <c r="A17" s="9">
        <v>14</v>
      </c>
      <c r="B17" s="9" t="s">
        <v>91</v>
      </c>
      <c r="C17" s="9"/>
      <c r="D17" s="16"/>
      <c r="E17" s="9"/>
      <c r="F17" s="9"/>
      <c r="G17" s="30" t="s">
        <v>10</v>
      </c>
      <c r="H17" s="30"/>
      <c r="I17" s="31">
        <v>800</v>
      </c>
      <c r="J17" s="9"/>
      <c r="K17" s="9"/>
    </row>
    <row r="18" spans="1:11" s="17" customFormat="1" x14ac:dyDescent="0.25">
      <c r="A18" s="9">
        <v>15</v>
      </c>
      <c r="B18" s="9" t="s">
        <v>92</v>
      </c>
      <c r="C18" s="9"/>
      <c r="D18" s="16"/>
      <c r="E18" s="9"/>
      <c r="F18" s="9"/>
      <c r="G18" s="30" t="s">
        <v>10</v>
      </c>
      <c r="H18" s="30"/>
      <c r="I18" s="31">
        <v>500</v>
      </c>
      <c r="J18" s="9"/>
      <c r="K18" s="9"/>
    </row>
    <row r="19" spans="1:11" s="17" customFormat="1" x14ac:dyDescent="0.25">
      <c r="A19" s="9">
        <v>16</v>
      </c>
      <c r="B19" s="9" t="s">
        <v>93</v>
      </c>
      <c r="C19" s="9"/>
      <c r="D19" s="16"/>
      <c r="E19" s="9"/>
      <c r="F19" s="9"/>
      <c r="G19" s="30" t="s">
        <v>10</v>
      </c>
      <c r="H19" s="30"/>
      <c r="I19" s="31">
        <v>36000</v>
      </c>
      <c r="J19" s="9"/>
      <c r="K19" s="9" t="s">
        <v>100</v>
      </c>
    </row>
    <row r="20" spans="1:11" s="17" customFormat="1" x14ac:dyDescent="0.25">
      <c r="A20" s="9">
        <v>17</v>
      </c>
      <c r="B20" s="9" t="s">
        <v>62</v>
      </c>
      <c r="C20" s="9" t="s">
        <v>87</v>
      </c>
      <c r="D20" s="16"/>
      <c r="E20" s="9"/>
      <c r="F20" s="9"/>
      <c r="G20" s="30" t="s">
        <v>86</v>
      </c>
      <c r="H20" s="30"/>
      <c r="I20" s="31">
        <v>50000</v>
      </c>
      <c r="J20" s="9"/>
      <c r="K20" s="9" t="s">
        <v>88</v>
      </c>
    </row>
    <row r="21" spans="1:11" s="17" customFormat="1" x14ac:dyDescent="0.25">
      <c r="A21" s="9">
        <v>18</v>
      </c>
      <c r="B21" s="9" t="s">
        <v>94</v>
      </c>
      <c r="C21" s="9"/>
      <c r="D21" s="16"/>
      <c r="E21" s="9"/>
      <c r="F21" s="9"/>
      <c r="G21" s="30" t="s">
        <v>10</v>
      </c>
      <c r="H21" s="30">
        <v>2</v>
      </c>
      <c r="I21" s="31">
        <v>19500</v>
      </c>
      <c r="J21" s="9"/>
      <c r="K21" s="9"/>
    </row>
    <row r="22" spans="1:11" s="17" customFormat="1" x14ac:dyDescent="0.25">
      <c r="A22" s="9">
        <v>19</v>
      </c>
      <c r="B22" s="9" t="s">
        <v>95</v>
      </c>
      <c r="C22" s="9"/>
      <c r="D22" s="16"/>
      <c r="E22" s="9"/>
      <c r="F22" s="9"/>
      <c r="G22" s="30" t="s">
        <v>10</v>
      </c>
      <c r="H22" s="30">
        <v>1</v>
      </c>
      <c r="I22" s="31">
        <v>31000</v>
      </c>
      <c r="J22" s="9"/>
      <c r="K22" s="9" t="s">
        <v>96</v>
      </c>
    </row>
    <row r="23" spans="1:11" s="17" customFormat="1" x14ac:dyDescent="0.25">
      <c r="A23" s="9">
        <v>20</v>
      </c>
      <c r="B23" s="9" t="s">
        <v>97</v>
      </c>
      <c r="C23" s="9"/>
      <c r="D23" s="16"/>
      <c r="E23" s="9"/>
      <c r="F23" s="9"/>
      <c r="G23" s="30" t="s">
        <v>10</v>
      </c>
      <c r="H23" s="30">
        <v>1</v>
      </c>
      <c r="I23" s="31">
        <v>20500</v>
      </c>
      <c r="J23" s="9"/>
      <c r="K23" s="9"/>
    </row>
    <row r="24" spans="1:11" s="17" customFormat="1" x14ac:dyDescent="0.25">
      <c r="A24" s="9">
        <v>21</v>
      </c>
      <c r="B24" s="9" t="s">
        <v>98</v>
      </c>
      <c r="C24" s="9"/>
      <c r="D24" s="16"/>
      <c r="E24" s="9"/>
      <c r="F24" s="9"/>
      <c r="G24" s="30" t="s">
        <v>85</v>
      </c>
      <c r="H24" s="30">
        <v>2</v>
      </c>
      <c r="I24" s="31">
        <v>40000</v>
      </c>
      <c r="J24" s="9"/>
      <c r="K24" s="9" t="s">
        <v>99</v>
      </c>
    </row>
    <row r="25" spans="1:11" s="17" customFormat="1" ht="18.75" x14ac:dyDescent="0.25">
      <c r="A25" s="9">
        <v>22</v>
      </c>
      <c r="B25" s="9"/>
      <c r="C25" s="9"/>
      <c r="D25" s="37"/>
      <c r="E25" s="37"/>
      <c r="F25" s="37"/>
      <c r="G25" s="28" t="s">
        <v>66</v>
      </c>
      <c r="H25" s="28"/>
      <c r="I25" s="29">
        <f>SUM(I4:I24)</f>
        <v>217966</v>
      </c>
      <c r="J25" s="9"/>
      <c r="K25" s="9"/>
    </row>
    <row r="26" spans="1:11" x14ac:dyDescent="0.25">
      <c r="I26" s="8"/>
    </row>
    <row r="27" spans="1:11" x14ac:dyDescent="0.25">
      <c r="I27" s="8"/>
    </row>
    <row r="28" spans="1:11" x14ac:dyDescent="0.25">
      <c r="I28" s="8"/>
    </row>
    <row r="29" spans="1:11" x14ac:dyDescent="0.25">
      <c r="I29" s="8"/>
    </row>
    <row r="30" spans="1:11" x14ac:dyDescent="0.25">
      <c r="I30" s="8"/>
    </row>
    <row r="31" spans="1:11" x14ac:dyDescent="0.25">
      <c r="I31" s="8"/>
    </row>
    <row r="32" spans="1:11" x14ac:dyDescent="0.25">
      <c r="I32" s="8"/>
    </row>
    <row r="33" spans="9:9" x14ac:dyDescent="0.25">
      <c r="I33" s="8"/>
    </row>
    <row r="34" spans="9:9" x14ac:dyDescent="0.25">
      <c r="I34" s="8"/>
    </row>
    <row r="35" spans="9:9" x14ac:dyDescent="0.25">
      <c r="I35" s="8"/>
    </row>
    <row r="36" spans="9:9" x14ac:dyDescent="0.25">
      <c r="I36" s="8"/>
    </row>
    <row r="37" spans="9:9" x14ac:dyDescent="0.25">
      <c r="I37" s="8"/>
    </row>
    <row r="38" spans="9:9" x14ac:dyDescent="0.25">
      <c r="I38" s="8"/>
    </row>
    <row r="39" spans="9:9" x14ac:dyDescent="0.25">
      <c r="I39" s="8"/>
    </row>
    <row r="40" spans="9:9" x14ac:dyDescent="0.25">
      <c r="I40" s="8"/>
    </row>
    <row r="41" spans="9:9" x14ac:dyDescent="0.25">
      <c r="I41" s="8"/>
    </row>
    <row r="42" spans="9:9" x14ac:dyDescent="0.25">
      <c r="I42" s="8"/>
    </row>
    <row r="43" spans="9:9" x14ac:dyDescent="0.25">
      <c r="I43" s="8"/>
    </row>
    <row r="44" spans="9:9" x14ac:dyDescent="0.25">
      <c r="I44" s="8"/>
    </row>
    <row r="45" spans="9:9" x14ac:dyDescent="0.25">
      <c r="I45" s="8"/>
    </row>
    <row r="46" spans="9:9" x14ac:dyDescent="0.25">
      <c r="I46" s="8"/>
    </row>
    <row r="47" spans="9:9" x14ac:dyDescent="0.25">
      <c r="I47" s="5"/>
    </row>
    <row r="48" spans="9:9" x14ac:dyDescent="0.25">
      <c r="I48" s="5"/>
    </row>
    <row r="49" spans="9:9" x14ac:dyDescent="0.25">
      <c r="I49" s="5"/>
    </row>
    <row r="50" spans="9:9" x14ac:dyDescent="0.25">
      <c r="I50" s="5"/>
    </row>
    <row r="51" spans="9:9" x14ac:dyDescent="0.25">
      <c r="I51" s="5"/>
    </row>
    <row r="52" spans="9:9" x14ac:dyDescent="0.25">
      <c r="I52" s="5"/>
    </row>
    <row r="53" spans="9:9" x14ac:dyDescent="0.25">
      <c r="I53" s="5"/>
    </row>
    <row r="54" spans="9:9" x14ac:dyDescent="0.25">
      <c r="I54" s="5"/>
    </row>
  </sheetData>
  <mergeCells count="1">
    <mergeCell ref="A1:K2"/>
  </mergeCells>
  <hyperlinks>
    <hyperlink ref="G4" r:id="rId1"/>
    <hyperlink ref="G6" r:id="rId2"/>
    <hyperlink ref="G7" r:id="rId3"/>
    <hyperlink ref="G8" r:id="rId4"/>
    <hyperlink ref="G9" r:id="rId5"/>
    <hyperlink ref="G10" r:id="rId6"/>
    <hyperlink ref="G5" r:id="rId7"/>
    <hyperlink ref="G13" r:id="rId8"/>
    <hyperlink ref="G11" r:id="rId9"/>
    <hyperlink ref="G12" r:id="rId10"/>
    <hyperlink ref="G14" r:id="rId11"/>
    <hyperlink ref="G20" r:id="rId12"/>
    <hyperlink ref="G15" r:id="rId13"/>
    <hyperlink ref="G16" r:id="rId14"/>
    <hyperlink ref="G17" r:id="rId15"/>
    <hyperlink ref="G18" r:id="rId16"/>
    <hyperlink ref="G19" r:id="rId17"/>
    <hyperlink ref="G21" r:id="rId18"/>
    <hyperlink ref="G22" r:id="rId19"/>
    <hyperlink ref="G23" r:id="rId20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XPENDER</cp:lastModifiedBy>
  <dcterms:created xsi:type="dcterms:W3CDTF">2022-09-15T11:01:45Z</dcterms:created>
  <dcterms:modified xsi:type="dcterms:W3CDTF">2023-01-31T18:06:19Z</dcterms:modified>
</cp:coreProperties>
</file>